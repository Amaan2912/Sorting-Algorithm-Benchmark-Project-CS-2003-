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tables/table3.xml" ContentType="application/vnd.openxmlformats-officedocument.spreadsheetml.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nivoftulsa-my.sharepoint.com/personal/anm6595_utulsa_edu/Documents/Spring 2026/Algorithms/"/>
    </mc:Choice>
  </mc:AlternateContent>
  <xr:revisionPtr revIDLastSave="219" documentId="8_{7A451671-A6FC-42A3-9B98-A65911644991}" xr6:coauthVersionLast="47" xr6:coauthVersionMax="47" xr10:uidLastSave="{62EC40E9-94C2-4304-8400-0FA283E28C4D}"/>
  <bookViews>
    <workbookView xWindow="-120" yWindow="-120" windowWidth="29040" windowHeight="15720" activeTab="1" xr2:uid="{FBC7BCC0-26B7-480F-804E-A09F634386A2}"/>
  </bookViews>
  <sheets>
    <sheet name="updates" sheetId="3" r:id="rId1"/>
    <sheet name="finals" sheetId="5" r:id="rId2"/>
    <sheet name="fixes" sheetId="4" r:id="rId3"/>
    <sheet name="results" sheetId="2" r:id="rId4"/>
    <sheet name="Sheet1" sheetId="1" r:id="rId5"/>
  </sheets>
  <definedNames>
    <definedName name="ExternalData_1" localSheetId="1" hidden="1">finals!$A$1:$C$26</definedName>
    <definedName name="ExternalData_2" localSheetId="0" hidden="1">updates!$A$1:$C$21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6" i="5" l="1"/>
  <c r="D25" i="5"/>
  <c r="D24" i="5"/>
  <c r="D23" i="5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3" i="5"/>
  <c r="D2" i="5"/>
  <c r="C33" i="5"/>
  <c r="B33" i="5" s="1"/>
  <c r="C32" i="5"/>
  <c r="B32" i="5" s="1"/>
  <c r="C31" i="5"/>
  <c r="B31" i="5"/>
  <c r="C30" i="5"/>
  <c r="B30" i="5"/>
  <c r="C29" i="5"/>
  <c r="B29" i="5"/>
  <c r="B28" i="4"/>
  <c r="B27" i="4"/>
  <c r="B26" i="4"/>
  <c r="B25" i="4"/>
  <c r="B24" i="4"/>
  <c r="C28" i="4"/>
  <c r="C27" i="4"/>
  <c r="C26" i="4"/>
  <c r="C25" i="4"/>
  <c r="C24" i="4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77592C7-7B5F-4167-A664-E22D841A180C}" keepAlive="1" name="Query - finals" description="Connection to the 'finals' query in the workbook." type="5" refreshedVersion="8" background="1" saveData="1">
    <dbPr connection="Provider=Microsoft.Mashup.OleDb.1;Data Source=$Workbook$;Location=finals;Extended Properties=&quot;&quot;" command="SELECT * FROM [finals]"/>
  </connection>
</connections>
</file>

<file path=xl/sharedStrings.xml><?xml version="1.0" encoding="utf-8"?>
<sst xmlns="http://schemas.openxmlformats.org/spreadsheetml/2006/main" count="111" uniqueCount="16">
  <si>
    <t>Column1</t>
  </si>
  <si>
    <t>Column2</t>
  </si>
  <si>
    <t>Column3</t>
  </si>
  <si>
    <t>Bubble Sort</t>
  </si>
  <si>
    <t>Insertion Sort</t>
  </si>
  <si>
    <t>Merge Sort</t>
  </si>
  <si>
    <t>Quick Sort</t>
  </si>
  <si>
    <t>Radix Sort</t>
  </si>
  <si>
    <t>Algorithm</t>
  </si>
  <si>
    <t>Data Size</t>
  </si>
  <si>
    <t>Sig. Operations</t>
  </si>
  <si>
    <t>Data Length</t>
  </si>
  <si>
    <t>Elapsed Time at p0.00 (milliseconds)</t>
  </si>
  <si>
    <t>Elapsed Time at p0.00 (seconds)</t>
  </si>
  <si>
    <t>Log Elapsed Time at p0.00 (milliseconds)</t>
  </si>
  <si>
    <t>Sig Operations (log)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</si>
</sst>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Best Case Log Elapsed Time</a:t>
            </a:r>
            <a:r>
              <a:rPr lang="en-US" baseline="0"/>
              <a:t> for Sorting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finals!$B$28</c:f>
              <c:strCache>
                <c:ptCount val="1"/>
                <c:pt idx="0">
                  <c:v>Log Elapsed Time at p0.00 (milliseconds)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finals!$A$29:$A$33</c:f>
              <c:strCache>
                <c:ptCount val="5"/>
                <c:pt idx="0">
                  <c:v>Bubble Sort</c:v>
                </c:pt>
                <c:pt idx="1">
                  <c:v>Insertion Sort</c:v>
                </c:pt>
                <c:pt idx="2">
                  <c:v>Merge Sort</c:v>
                </c:pt>
                <c:pt idx="3">
                  <c:v>Quick Sort</c:v>
                </c:pt>
                <c:pt idx="4">
                  <c:v>Radix Sort</c:v>
                </c:pt>
              </c:strCache>
            </c:strRef>
          </c:cat>
          <c:val>
            <c:numRef>
              <c:f>finals!$B$29:$B$33</c:f>
              <c:numCache>
                <c:formatCode>General</c:formatCode>
                <c:ptCount val="5"/>
                <c:pt idx="0">
                  <c:v>5.0034346804780867</c:v>
                </c:pt>
                <c:pt idx="1">
                  <c:v>4.0404836642062696</c:v>
                </c:pt>
                <c:pt idx="2">
                  <c:v>2.8182258936139557</c:v>
                </c:pt>
                <c:pt idx="3">
                  <c:v>2.6314437690131722</c:v>
                </c:pt>
                <c:pt idx="4">
                  <c:v>2.7701152947871015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035-4E9B-9B0C-75DFD45B6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722039311"/>
        <c:axId val="1722035951"/>
      </c:barChart>
      <c:catAx>
        <c:axId val="1722039311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Sorting Algorithms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035951"/>
        <c:crosses val="autoZero"/>
        <c:auto val="1"/>
        <c:lblAlgn val="ctr"/>
        <c:lblOffset val="100"/>
        <c:noMultiLvlLbl val="0"/>
      </c:catAx>
      <c:valAx>
        <c:axId val="172203595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8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Elapsed Time (log) (milliseconds)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2039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Significant Operations for Sorting Algorithms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Bubble Sort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finals!$B$2:$B$6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finals!$D$2:$D$6</c:f>
              <c:numCache>
                <c:formatCode>General</c:formatCode>
                <c:ptCount val="5"/>
                <c:pt idx="0">
                  <c:v>3.6940784620807596</c:v>
                </c:pt>
                <c:pt idx="1">
                  <c:v>5.6981571133646964</c:v>
                </c:pt>
                <c:pt idx="2">
                  <c:v>7.6987622315925108</c:v>
                </c:pt>
                <c:pt idx="3">
                  <c:v>9.6989598595327298</c:v>
                </c:pt>
                <c:pt idx="4">
                  <c:v>11.698969046930172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8DED-4337-A09D-F3729B799125}"/>
            </c:ext>
          </c:extLst>
        </c:ser>
        <c:ser>
          <c:idx val="1"/>
          <c:order val="1"/>
          <c:tx>
            <c:v>Insertion Sort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finals!$B$7:$B$11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finals!$D$7:$D$11</c:f>
              <c:numCache>
                <c:formatCode>General</c:formatCode>
                <c:ptCount val="5"/>
                <c:pt idx="0">
                  <c:v>3.4122925093230463</c:v>
                </c:pt>
                <c:pt idx="1">
                  <c:v>5.3937190669036594</c:v>
                </c:pt>
                <c:pt idx="2">
                  <c:v>7.3965481948350309</c:v>
                </c:pt>
                <c:pt idx="3">
                  <c:v>9.3966752806989291</c:v>
                </c:pt>
                <c:pt idx="4">
                  <c:v>11.397817284535757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8DED-4337-A09D-F3729B799125}"/>
            </c:ext>
          </c:extLst>
        </c:ser>
        <c:ser>
          <c:idx val="2"/>
          <c:order val="2"/>
          <c:tx>
            <c:v>Merge Sort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finals!$B$12:$B$16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finals!$D$12:$D$16</c:f>
              <c:numCache>
                <c:formatCode>General</c:formatCode>
                <c:ptCount val="5"/>
                <c:pt idx="0">
                  <c:v>2.7355988996981799</c:v>
                </c:pt>
                <c:pt idx="1">
                  <c:v>3.9415114326344032</c:v>
                </c:pt>
                <c:pt idx="2">
                  <c:v>5.0809365865293419</c:v>
                </c:pt>
                <c:pt idx="3">
                  <c:v>6.1865085385253105</c:v>
                </c:pt>
                <c:pt idx="4">
                  <c:v>7.2712694707021477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8DED-4337-A09D-F3729B799125}"/>
            </c:ext>
          </c:extLst>
        </c:ser>
        <c:ser>
          <c:idx val="3"/>
          <c:order val="3"/>
          <c:tx>
            <c:v>Quick Sort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finals!$B$17:$B$21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finals!$D$17:$D$21</c:f>
              <c:numCache>
                <c:formatCode>General</c:formatCode>
                <c:ptCount val="5"/>
                <c:pt idx="0">
                  <c:v>2.8195439355418688</c:v>
                </c:pt>
                <c:pt idx="1">
                  <c:v>4.0395727365927661</c:v>
                </c:pt>
                <c:pt idx="2">
                  <c:v>5.1939284123927383</c:v>
                </c:pt>
                <c:pt idx="3">
                  <c:v>6.3075437435045369</c:v>
                </c:pt>
                <c:pt idx="4">
                  <c:v>7.3827113044660262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8DED-4337-A09D-F3729B799125}"/>
            </c:ext>
          </c:extLst>
        </c:ser>
        <c:ser>
          <c:idx val="4"/>
          <c:order val="4"/>
          <c:tx>
            <c:v>Radix Sort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finals!$B$22:$B$26</c:f>
              <c:numCache>
                <c:formatCode>General</c:formatCode>
                <c:ptCount val="5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  <c:pt idx="4">
                  <c:v>1000000</c:v>
                </c:pt>
              </c:numCache>
            </c:numRef>
          </c:xVal>
          <c:yVal>
            <c:numRef>
              <c:f>finals!$D$22:$D$26</c:f>
              <c:numCache>
                <c:formatCode>General</c:formatCode>
                <c:ptCount val="5"/>
                <c:pt idx="0">
                  <c:v>3.3802112417116059</c:v>
                </c:pt>
                <c:pt idx="1">
                  <c:v>4.3802112417116064</c:v>
                </c:pt>
                <c:pt idx="2">
                  <c:v>5.3802112417116064</c:v>
                </c:pt>
                <c:pt idx="3">
                  <c:v>6.3802112417116064</c:v>
                </c:pt>
                <c:pt idx="4">
                  <c:v>7.3802112417116064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8DED-4337-A09D-F3729B7991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69654383"/>
        <c:axId val="1569650063"/>
      </c:scatterChart>
      <c:valAx>
        <c:axId val="1569654383"/>
        <c:scaling>
          <c:logBase val="10"/>
          <c:orientation val="minMax"/>
          <c:max val="10000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Array</a:t>
                </a:r>
                <a:r>
                  <a:rPr lang="en-US" baseline="0"/>
                  <a:t> Size (n)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650063"/>
        <c:crosses val="autoZero"/>
        <c:crossBetween val="midCat"/>
      </c:valAx>
      <c:valAx>
        <c:axId val="1569650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rPr>
                  <a:t>Significant Operations (log scale)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69654383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Significant Operations for Sorting</a:t>
            </a:r>
            <a:r>
              <a:rPr lang="en-US" baseline="0"/>
              <a:t> Algorithms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Bubble Sort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fixes!$B$2:$B$5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fixes!$C$2:$C$5</c:f>
              <c:numCache>
                <c:formatCode>General</c:formatCode>
                <c:ptCount val="4"/>
                <c:pt idx="0">
                  <c:v>4944</c:v>
                </c:pt>
                <c:pt idx="1">
                  <c:v>499065</c:v>
                </c:pt>
                <c:pt idx="2">
                  <c:v>49976085</c:v>
                </c:pt>
                <c:pt idx="3">
                  <c:v>4999883205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E8-44AE-BEE9-DF421A1A3B44}"/>
            </c:ext>
          </c:extLst>
        </c:ser>
        <c:ser>
          <c:idx val="1"/>
          <c:order val="1"/>
          <c:tx>
            <c:v>Insertion Sort</c:v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fixes!$B$6:$B$9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fixes!$C$6:$C$9</c:f>
              <c:numCache>
                <c:formatCode>General</c:formatCode>
                <c:ptCount val="4"/>
                <c:pt idx="0">
                  <c:v>2584</c:v>
                </c:pt>
                <c:pt idx="1">
                  <c:v>247582</c:v>
                </c:pt>
                <c:pt idx="2">
                  <c:v>24920009</c:v>
                </c:pt>
                <c:pt idx="3">
                  <c:v>2492730231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8E8-44AE-BEE9-DF421A1A3B44}"/>
            </c:ext>
          </c:extLst>
        </c:ser>
        <c:ser>
          <c:idx val="2"/>
          <c:order val="2"/>
          <c:tx>
            <c:v>Merge Sort</c:v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fixes!$B$10:$B$13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fixes!$C$10:$C$13</c:f>
              <c:numCache>
                <c:formatCode>General</c:formatCode>
                <c:ptCount val="4"/>
                <c:pt idx="0">
                  <c:v>544</c:v>
                </c:pt>
                <c:pt idx="1">
                  <c:v>8740</c:v>
                </c:pt>
                <c:pt idx="2">
                  <c:v>120486</c:v>
                </c:pt>
                <c:pt idx="3">
                  <c:v>1536415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8E8-44AE-BEE9-DF421A1A3B44}"/>
            </c:ext>
          </c:extLst>
        </c:ser>
        <c:ser>
          <c:idx val="3"/>
          <c:order val="3"/>
          <c:tx>
            <c:v>Quick Sort</c:v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fixes!$B$14:$B$17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fixes!$C$14:$C$17</c:f>
              <c:numCache>
                <c:formatCode>General</c:formatCode>
                <c:ptCount val="4"/>
                <c:pt idx="0">
                  <c:v>660</c:v>
                </c:pt>
                <c:pt idx="1">
                  <c:v>10954</c:v>
                </c:pt>
                <c:pt idx="2">
                  <c:v>156289</c:v>
                </c:pt>
                <c:pt idx="3">
                  <c:v>2030223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D8E8-44AE-BEE9-DF421A1A3B44}"/>
            </c:ext>
          </c:extLst>
        </c:ser>
        <c:ser>
          <c:idx val="4"/>
          <c:order val="4"/>
          <c:tx>
            <c:v>Radix Sort</c:v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fixes!$B$18:$B$21</c:f>
              <c:numCache>
                <c:formatCode>General</c:formatCode>
                <c:ptCount val="4"/>
                <c:pt idx="0">
                  <c:v>100</c:v>
                </c:pt>
                <c:pt idx="1">
                  <c:v>1000</c:v>
                </c:pt>
                <c:pt idx="2">
                  <c:v>10000</c:v>
                </c:pt>
                <c:pt idx="3">
                  <c:v>100000</c:v>
                </c:pt>
              </c:numCache>
            </c:numRef>
          </c:xVal>
          <c:yVal>
            <c:numRef>
              <c:f>fixes!$C$18:$C$21</c:f>
              <c:numCache>
                <c:formatCode>General</c:formatCode>
                <c:ptCount val="4"/>
                <c:pt idx="0">
                  <c:v>2400</c:v>
                </c:pt>
                <c:pt idx="1">
                  <c:v>24000</c:v>
                </c:pt>
                <c:pt idx="2">
                  <c:v>240000</c:v>
                </c:pt>
                <c:pt idx="3">
                  <c:v>2400000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D8E8-44AE-BEE9-DF421A1A3B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24094016"/>
        <c:axId val="1824093056"/>
      </c:scatterChart>
      <c:valAx>
        <c:axId val="1824094016"/>
        <c:scaling>
          <c:logBase val="10"/>
          <c:orientation val="minMax"/>
          <c:max val="100000"/>
          <c:min val="1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Array</a:t>
                </a:r>
                <a:r>
                  <a:rPr lang="en-US" sz="1400" baseline="0"/>
                  <a:t> Size (n)</a:t>
                </a:r>
                <a:endParaRPr lang="en-US" sz="1400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093056"/>
        <c:crosses val="autoZero"/>
        <c:crossBetween val="midCat"/>
      </c:valAx>
      <c:valAx>
        <c:axId val="1824093056"/>
        <c:scaling>
          <c:logBase val="10"/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400"/>
                  <a:t>Significant Operations</a:t>
                </a:r>
                <a:r>
                  <a:rPr lang="en-US" sz="1400" baseline="0"/>
                  <a:t> (log scale)</a:t>
                </a:r>
                <a:endParaRPr lang="en-US" sz="1400"/>
              </a:p>
            </c:rich>
          </c:tx>
          <c:layout>
            <c:manualLayout>
              <c:xMode val="edge"/>
              <c:yMode val="edge"/>
              <c:x val="2.1470200310156184E-3"/>
              <c:y val="0.3871491719236790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4094016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Best Case Log Elapsed Time</a:t>
            </a:r>
            <a:r>
              <a:rPr lang="en-US" baseline="0"/>
              <a:t> for Sorting Algorithms</a:t>
            </a:r>
            <a:endParaRPr lang="en-US"/>
          </a:p>
        </c:rich>
      </c:tx>
      <c:layout>
        <c:manualLayout>
          <c:xMode val="edge"/>
          <c:yMode val="edge"/>
          <c:x val="0.14008161243995443"/>
          <c:y val="3.524228531574528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fixes!$B$23</c:f>
              <c:strCache>
                <c:ptCount val="1"/>
                <c:pt idx="0">
                  <c:v>Log Elapsed Time at p0.00 (milliseconds)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fixes!$A$24:$A$28</c:f>
              <c:strCache>
                <c:ptCount val="5"/>
                <c:pt idx="0">
                  <c:v>Bubble Sort</c:v>
                </c:pt>
                <c:pt idx="1">
                  <c:v>Insertion Sort</c:v>
                </c:pt>
                <c:pt idx="2">
                  <c:v>Merge Sort</c:v>
                </c:pt>
                <c:pt idx="3">
                  <c:v>Quick Sort</c:v>
                </c:pt>
                <c:pt idx="4">
                  <c:v>Radix Sort</c:v>
                </c:pt>
              </c:strCache>
            </c:strRef>
          </c:cat>
          <c:val>
            <c:numRef>
              <c:f>fixes!$B$24:$B$28</c:f>
              <c:numCache>
                <c:formatCode>General</c:formatCode>
                <c:ptCount val="5"/>
                <c:pt idx="0">
                  <c:v>5.0034346804780867</c:v>
                </c:pt>
                <c:pt idx="1">
                  <c:v>4.0404836642062696</c:v>
                </c:pt>
                <c:pt idx="2">
                  <c:v>2.8182258936139557</c:v>
                </c:pt>
                <c:pt idx="3">
                  <c:v>2.6314437690131722</c:v>
                </c:pt>
                <c:pt idx="4">
                  <c:v>2.7701152947871015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408-4E11-A6A5-659BEE55A1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2082975968"/>
        <c:axId val="2082978368"/>
      </c:barChart>
      <c:catAx>
        <c:axId val="20829759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Sorting</a:t>
                </a:r>
                <a:r>
                  <a:rPr lang="en-US" baseline="0"/>
                  <a:t> Algorithms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978368"/>
        <c:crosses val="autoZero"/>
        <c:auto val="1"/>
        <c:lblAlgn val="ctr"/>
        <c:lblOffset val="100"/>
        <c:noMultiLvlLbl val="0"/>
      </c:catAx>
      <c:valAx>
        <c:axId val="2082978368"/>
        <c:scaling>
          <c:orientation val="minMax"/>
          <c:min val="-1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Elapsed</a:t>
                </a:r>
                <a:r>
                  <a:rPr lang="en-US" baseline="0"/>
                  <a:t> Time (log) (milliseconds)</a:t>
                </a:r>
                <a:endParaRPr lang="en-US"/>
              </a:p>
            </c:rich>
          </c:tx>
          <c:layout>
            <c:manualLayout>
              <c:xMode val="edge"/>
              <c:yMode val="edge"/>
              <c:x val="2.3894862604540025E-2"/>
              <c:y val="0.2363477458549951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29759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19</xdr:row>
      <xdr:rowOff>95250</xdr:rowOff>
    </xdr:from>
    <xdr:to>
      <xdr:col>16</xdr:col>
      <xdr:colOff>57150</xdr:colOff>
      <xdr:row>35</xdr:row>
      <xdr:rowOff>14287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6E99F62-62F5-C493-2604-99BB384F35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238124</xdr:colOff>
      <xdr:row>2</xdr:row>
      <xdr:rowOff>66674</xdr:rowOff>
    </xdr:from>
    <xdr:to>
      <xdr:col>18</xdr:col>
      <xdr:colOff>38099</xdr:colOff>
      <xdr:row>17</xdr:row>
      <xdr:rowOff>38099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21FE3D0-976D-472D-8CF7-027C249A1E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1223962</xdr:colOff>
      <xdr:row>0</xdr:row>
      <xdr:rowOff>0</xdr:rowOff>
    </xdr:from>
    <xdr:to>
      <xdr:col>17</xdr:col>
      <xdr:colOff>559592</xdr:colOff>
      <xdr:row>21</xdr:row>
      <xdr:rowOff>128588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A379F85-2F55-3700-CA0C-6061E2CE1E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247650</xdr:colOff>
      <xdr:row>23</xdr:row>
      <xdr:rowOff>95251</xdr:rowOff>
    </xdr:from>
    <xdr:to>
      <xdr:col>18</xdr:col>
      <xdr:colOff>76200</xdr:colOff>
      <xdr:row>40</xdr:row>
      <xdr:rowOff>142875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FB4D9CF-F812-4395-E7A6-D247E96B9A2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1EFAFFB7-CE5E-4069-AA90-44225E0C8921}" autoFormatId="16" applyNumberFormats="0" applyBorderFormats="0" applyFontFormats="0" applyPatternFormats="0" applyAlignmentFormats="0" applyWidthHeightFormats="0">
  <queryTableRefresh nextId="5" unboundColumnsRight="1">
    <queryTableFields count="4">
      <queryTableField id="1" name="Column1" tableColumnId="1"/>
      <queryTableField id="2" name="Column2" tableColumnId="2"/>
      <queryTableField id="3" name="Column3" tableColumnId="3"/>
      <queryTableField id="4" dataBound="0" tableColumnId="4"/>
    </queryTableFields>
  </queryTableRefresh>
</queryTable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F520CB4-43B7-4630-BB4D-680230E8EFB9}" name="updates" displayName="updates" ref="A1:C21" totalsRowShown="0">
  <autoFilter ref="A1:C21" xr:uid="{BF520CB4-43B7-4630-BB4D-680230E8EFB9}"/>
  <tableColumns count="3">
    <tableColumn id="1" xr3:uid="{DB4617BE-C30F-4A17-89B7-FE0414E22E63}" name="Column1" dataDxfId="2"/>
    <tableColumn id="2" xr3:uid="{FB0A86B8-5760-4EBD-995A-1F5F369FB2B2}" name="Column2"/>
    <tableColumn id="3" xr3:uid="{2CEBF061-F2DE-48F8-8413-1F0D4283FD79}" name="Column3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7E5B4B87-F1C0-4A12-8BAB-C953CBA7BD14}" name="finals" displayName="finals" ref="A1:D26" tableType="queryTable" totalsRowShown="0">
  <autoFilter ref="A1:D26" xr:uid="{7E5B4B87-F1C0-4A12-8BAB-C953CBA7BD14}"/>
  <sortState xmlns:xlrd2="http://schemas.microsoft.com/office/spreadsheetml/2017/richdata2" ref="A2:C26">
    <sortCondition ref="A1:A26"/>
  </sortState>
  <tableColumns count="4">
    <tableColumn id="1" xr3:uid="{1036B8D7-2555-4981-9C86-6BCCA12EE07D}" uniqueName="1" name="Algorithm" queryTableFieldId="1" dataDxfId="4"/>
    <tableColumn id="2" xr3:uid="{9F9CB797-DE2A-475A-8DBF-A0AF7AA3258F}" uniqueName="2" name="Data Length" queryTableFieldId="2"/>
    <tableColumn id="3" xr3:uid="{C9FBD406-FF3E-43A3-9065-654DBB8588CF}" uniqueName="3" name="Sig. Operations" queryTableFieldId="3"/>
    <tableColumn id="4" xr3:uid="{B454624F-55FD-4E3E-966C-6A117373404A}" uniqueName="4" name="Sig Operations (log)" queryTableFieldId="4" dataDxfId="3">
      <calculatedColumnFormula>LOG(C2)</calculatedColumnFormula>
    </tableColumn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0E30BCA-CD36-4B28-9EE2-B11E6684722D}" name="fixes" displayName="fixes" ref="A1:C21" totalsRowShown="0">
  <autoFilter ref="A1:C21" xr:uid="{A0E30BCA-CD36-4B28-9EE2-B11E6684722D}"/>
  <sortState xmlns:xlrd2="http://schemas.microsoft.com/office/spreadsheetml/2017/richdata2" ref="A2:C21">
    <sortCondition ref="A1:A21"/>
  </sortState>
  <tableColumns count="3">
    <tableColumn id="1" xr3:uid="{10E5F6D6-DA3D-44D9-BF50-306E2E415781}" name="Algorithm" dataDxfId="1"/>
    <tableColumn id="2" xr3:uid="{F160F4E2-7AA4-485F-A7A9-076BCE7D0A43}" name="Data Length"/>
    <tableColumn id="3" xr3:uid="{B25C5ED3-6C29-4D2F-B93E-E99E671A9F31}" name="Sig. Operations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B49C1B8-0B3B-4D68-B6AC-98E59480ADAC}" name="results" displayName="results" ref="A1:C16" totalsRowShown="0">
  <autoFilter ref="A1:C16" xr:uid="{EB49C1B8-0B3B-4D68-B6AC-98E59480ADAC}"/>
  <tableColumns count="3">
    <tableColumn id="1" xr3:uid="{EC9B7953-7CA8-40B4-9F61-2318384E899F}" name="Algorithm" dataDxfId="0"/>
    <tableColumn id="2" xr3:uid="{08CFCE3E-9B11-43B9-BA99-E4730EA7F08C}" name="Data Size"/>
    <tableColumn id="3" xr3:uid="{25A43524-7763-485B-BC1B-91173501D3F7}" name="Sig. Operations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5F86C-F0BD-4D2D-B2F9-C16CD171BE27}">
  <dimension ref="A1:C21"/>
  <sheetViews>
    <sheetView workbookViewId="0"/>
  </sheetViews>
  <sheetFormatPr defaultRowHeight="15" x14ac:dyDescent="0.25"/>
  <cols>
    <col min="1" max="1" width="12.7109375" bestFit="1" customWidth="1"/>
    <col min="2" max="3" width="11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100</v>
      </c>
      <c r="C2">
        <v>4944</v>
      </c>
    </row>
    <row r="3" spans="1:3" x14ac:dyDescent="0.25">
      <c r="A3" t="s">
        <v>4</v>
      </c>
      <c r="B3">
        <v>100</v>
      </c>
      <c r="C3">
        <v>2589</v>
      </c>
    </row>
    <row r="4" spans="1:3" x14ac:dyDescent="0.25">
      <c r="A4" t="s">
        <v>5</v>
      </c>
      <c r="B4">
        <v>100</v>
      </c>
      <c r="C4">
        <v>544</v>
      </c>
    </row>
    <row r="5" spans="1:3" x14ac:dyDescent="0.25">
      <c r="A5" t="s">
        <v>6</v>
      </c>
      <c r="B5">
        <v>100</v>
      </c>
      <c r="C5">
        <v>660</v>
      </c>
    </row>
    <row r="6" spans="1:3" x14ac:dyDescent="0.25">
      <c r="A6" t="s">
        <v>7</v>
      </c>
      <c r="B6">
        <v>100</v>
      </c>
      <c r="C6">
        <v>2400</v>
      </c>
    </row>
    <row r="7" spans="1:3" x14ac:dyDescent="0.25">
      <c r="A7" t="s">
        <v>3</v>
      </c>
      <c r="B7">
        <v>1000</v>
      </c>
      <c r="C7">
        <v>499065</v>
      </c>
    </row>
    <row r="8" spans="1:3" x14ac:dyDescent="0.25">
      <c r="A8" t="s">
        <v>4</v>
      </c>
      <c r="B8">
        <v>1000</v>
      </c>
      <c r="C8">
        <v>247593</v>
      </c>
    </row>
    <row r="9" spans="1:3" x14ac:dyDescent="0.25">
      <c r="A9" t="s">
        <v>5</v>
      </c>
      <c r="B9">
        <v>1000</v>
      </c>
      <c r="C9">
        <v>8740</v>
      </c>
    </row>
    <row r="10" spans="1:3" x14ac:dyDescent="0.25">
      <c r="A10" t="s">
        <v>6</v>
      </c>
      <c r="B10">
        <v>1000</v>
      </c>
      <c r="C10">
        <v>10954</v>
      </c>
    </row>
    <row r="11" spans="1:3" x14ac:dyDescent="0.25">
      <c r="A11" t="s">
        <v>7</v>
      </c>
      <c r="B11">
        <v>1000</v>
      </c>
      <c r="C11">
        <v>24000</v>
      </c>
    </row>
    <row r="12" spans="1:3" x14ac:dyDescent="0.25">
      <c r="A12" t="s">
        <v>3</v>
      </c>
      <c r="B12">
        <v>10000</v>
      </c>
      <c r="C12">
        <v>49976085</v>
      </c>
    </row>
    <row r="13" spans="1:3" x14ac:dyDescent="0.25">
      <c r="A13" t="s">
        <v>4</v>
      </c>
      <c r="B13">
        <v>10000</v>
      </c>
      <c r="C13">
        <v>24920022</v>
      </c>
    </row>
    <row r="14" spans="1:3" x14ac:dyDescent="0.25">
      <c r="A14" t="s">
        <v>5</v>
      </c>
      <c r="B14">
        <v>10000</v>
      </c>
      <c r="C14">
        <v>120486</v>
      </c>
    </row>
    <row r="15" spans="1:3" x14ac:dyDescent="0.25">
      <c r="A15" t="s">
        <v>6</v>
      </c>
      <c r="B15">
        <v>10000</v>
      </c>
      <c r="C15">
        <v>156289</v>
      </c>
    </row>
    <row r="16" spans="1:3" x14ac:dyDescent="0.25">
      <c r="A16" t="s">
        <v>7</v>
      </c>
      <c r="B16">
        <v>10000</v>
      </c>
      <c r="C16">
        <v>240000</v>
      </c>
    </row>
    <row r="17" spans="1:3" x14ac:dyDescent="0.25">
      <c r="A17" t="s">
        <v>3</v>
      </c>
      <c r="B17">
        <v>100000</v>
      </c>
      <c r="C17">
        <v>4999883205</v>
      </c>
    </row>
    <row r="18" spans="1:3" x14ac:dyDescent="0.25">
      <c r="A18" t="s">
        <v>4</v>
      </c>
      <c r="B18">
        <v>100000</v>
      </c>
      <c r="C18">
        <v>2492730247</v>
      </c>
    </row>
    <row r="19" spans="1:3" x14ac:dyDescent="0.25">
      <c r="A19" t="s">
        <v>5</v>
      </c>
      <c r="B19">
        <v>100000</v>
      </c>
      <c r="C19">
        <v>1536415</v>
      </c>
    </row>
    <row r="20" spans="1:3" x14ac:dyDescent="0.25">
      <c r="A20" t="s">
        <v>6</v>
      </c>
      <c r="B20">
        <v>100000</v>
      </c>
      <c r="C20">
        <v>2030223</v>
      </c>
    </row>
    <row r="21" spans="1:3" x14ac:dyDescent="0.25">
      <c r="A21" t="s">
        <v>7</v>
      </c>
      <c r="B21">
        <v>100000</v>
      </c>
      <c r="C21">
        <v>2400000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264CD-02D5-46A2-A446-211C275C3BCA}">
  <dimension ref="A1:D33"/>
  <sheetViews>
    <sheetView tabSelected="1" workbookViewId="0">
      <selection activeCell="O19" sqref="O19"/>
    </sheetView>
  </sheetViews>
  <sheetFormatPr defaultRowHeight="15" x14ac:dyDescent="0.25"/>
  <cols>
    <col min="1" max="1" width="12.7109375" bestFit="1" customWidth="1"/>
    <col min="2" max="2" width="37.5703125" bestFit="1" customWidth="1"/>
    <col min="3" max="3" width="40.7109375" customWidth="1"/>
    <col min="4" max="4" width="43.5703125" customWidth="1"/>
  </cols>
  <sheetData>
    <row r="1" spans="1:4" x14ac:dyDescent="0.25">
      <c r="A1" t="s">
        <v>8</v>
      </c>
      <c r="B1" t="s">
        <v>11</v>
      </c>
      <c r="C1" t="s">
        <v>10</v>
      </c>
      <c r="D1" t="s">
        <v>15</v>
      </c>
    </row>
    <row r="2" spans="1:4" x14ac:dyDescent="0.25">
      <c r="A2" t="s">
        <v>3</v>
      </c>
      <c r="B2">
        <v>100</v>
      </c>
      <c r="C2">
        <v>4944</v>
      </c>
      <c r="D2">
        <f t="shared" ref="D2:D26" si="0">LOG(C2)</f>
        <v>3.6940784620807596</v>
      </c>
    </row>
    <row r="3" spans="1:4" x14ac:dyDescent="0.25">
      <c r="A3" t="s">
        <v>3</v>
      </c>
      <c r="B3">
        <v>1000</v>
      </c>
      <c r="C3">
        <v>499065</v>
      </c>
      <c r="D3">
        <f t="shared" si="0"/>
        <v>5.6981571133646964</v>
      </c>
    </row>
    <row r="4" spans="1:4" x14ac:dyDescent="0.25">
      <c r="A4" t="s">
        <v>3</v>
      </c>
      <c r="B4">
        <v>10000</v>
      </c>
      <c r="C4">
        <v>49976085</v>
      </c>
      <c r="D4">
        <f t="shared" si="0"/>
        <v>7.6987622315925108</v>
      </c>
    </row>
    <row r="5" spans="1:4" x14ac:dyDescent="0.25">
      <c r="A5" t="s">
        <v>3</v>
      </c>
      <c r="B5">
        <v>100000</v>
      </c>
      <c r="C5">
        <v>4999883205</v>
      </c>
      <c r="D5">
        <f t="shared" si="0"/>
        <v>9.6989598595327298</v>
      </c>
    </row>
    <row r="6" spans="1:4" x14ac:dyDescent="0.25">
      <c r="A6" t="s">
        <v>3</v>
      </c>
      <c r="B6">
        <v>1000000</v>
      </c>
      <c r="C6">
        <v>499998897747</v>
      </c>
      <c r="D6">
        <f t="shared" si="0"/>
        <v>11.698969046930172</v>
      </c>
    </row>
    <row r="7" spans="1:4" x14ac:dyDescent="0.25">
      <c r="A7" t="s">
        <v>4</v>
      </c>
      <c r="B7">
        <v>100</v>
      </c>
      <c r="C7">
        <v>2584</v>
      </c>
      <c r="D7">
        <f t="shared" si="0"/>
        <v>3.4122925093230463</v>
      </c>
    </row>
    <row r="8" spans="1:4" x14ac:dyDescent="0.25">
      <c r="A8" t="s">
        <v>4</v>
      </c>
      <c r="B8">
        <v>1000</v>
      </c>
      <c r="C8">
        <v>247582</v>
      </c>
      <c r="D8">
        <f t="shared" si="0"/>
        <v>5.3937190669036594</v>
      </c>
    </row>
    <row r="9" spans="1:4" x14ac:dyDescent="0.25">
      <c r="A9" t="s">
        <v>4</v>
      </c>
      <c r="B9">
        <v>10000</v>
      </c>
      <c r="C9">
        <v>24920009</v>
      </c>
      <c r="D9">
        <f t="shared" si="0"/>
        <v>7.3965481948350309</v>
      </c>
    </row>
    <row r="10" spans="1:4" x14ac:dyDescent="0.25">
      <c r="A10" t="s">
        <v>4</v>
      </c>
      <c r="B10">
        <v>100000</v>
      </c>
      <c r="C10">
        <v>2492730231</v>
      </c>
      <c r="D10">
        <f t="shared" si="0"/>
        <v>9.3966752806989291</v>
      </c>
    </row>
    <row r="11" spans="1:4" x14ac:dyDescent="0.25">
      <c r="A11" t="s">
        <v>4</v>
      </c>
      <c r="B11">
        <v>1000000</v>
      </c>
      <c r="C11">
        <v>249929364289</v>
      </c>
      <c r="D11">
        <f t="shared" si="0"/>
        <v>11.397817284535757</v>
      </c>
    </row>
    <row r="12" spans="1:4" x14ac:dyDescent="0.25">
      <c r="A12" t="s">
        <v>5</v>
      </c>
      <c r="B12">
        <v>100</v>
      </c>
      <c r="C12">
        <v>544</v>
      </c>
      <c r="D12">
        <f t="shared" si="0"/>
        <v>2.7355988996981799</v>
      </c>
    </row>
    <row r="13" spans="1:4" x14ac:dyDescent="0.25">
      <c r="A13" t="s">
        <v>5</v>
      </c>
      <c r="B13">
        <v>1000</v>
      </c>
      <c r="C13">
        <v>8740</v>
      </c>
      <c r="D13">
        <f t="shared" si="0"/>
        <v>3.9415114326344032</v>
      </c>
    </row>
    <row r="14" spans="1:4" x14ac:dyDescent="0.25">
      <c r="A14" t="s">
        <v>5</v>
      </c>
      <c r="B14">
        <v>10000</v>
      </c>
      <c r="C14">
        <v>120486</v>
      </c>
      <c r="D14">
        <f t="shared" si="0"/>
        <v>5.0809365865293419</v>
      </c>
    </row>
    <row r="15" spans="1:4" x14ac:dyDescent="0.25">
      <c r="A15" t="s">
        <v>5</v>
      </c>
      <c r="B15">
        <v>100000</v>
      </c>
      <c r="C15">
        <v>1536415</v>
      </c>
      <c r="D15">
        <f t="shared" si="0"/>
        <v>6.1865085385253105</v>
      </c>
    </row>
    <row r="16" spans="1:4" x14ac:dyDescent="0.25">
      <c r="A16" t="s">
        <v>5</v>
      </c>
      <c r="B16">
        <v>1000000</v>
      </c>
      <c r="C16">
        <v>18675381</v>
      </c>
      <c r="D16">
        <f t="shared" si="0"/>
        <v>7.2712694707021477</v>
      </c>
    </row>
    <row r="17" spans="1:4" x14ac:dyDescent="0.25">
      <c r="A17" t="s">
        <v>6</v>
      </c>
      <c r="B17">
        <v>100</v>
      </c>
      <c r="C17">
        <v>660</v>
      </c>
      <c r="D17">
        <f t="shared" si="0"/>
        <v>2.8195439355418688</v>
      </c>
    </row>
    <row r="18" spans="1:4" x14ac:dyDescent="0.25">
      <c r="A18" t="s">
        <v>6</v>
      </c>
      <c r="B18">
        <v>1000</v>
      </c>
      <c r="C18">
        <v>10954</v>
      </c>
      <c r="D18">
        <f t="shared" si="0"/>
        <v>4.0395727365927661</v>
      </c>
    </row>
    <row r="19" spans="1:4" x14ac:dyDescent="0.25">
      <c r="A19" t="s">
        <v>6</v>
      </c>
      <c r="B19">
        <v>10000</v>
      </c>
      <c r="C19">
        <v>156289</v>
      </c>
      <c r="D19">
        <f t="shared" si="0"/>
        <v>5.1939284123927383</v>
      </c>
    </row>
    <row r="20" spans="1:4" x14ac:dyDescent="0.25">
      <c r="A20" t="s">
        <v>6</v>
      </c>
      <c r="B20">
        <v>100000</v>
      </c>
      <c r="C20">
        <v>2030223</v>
      </c>
      <c r="D20">
        <f t="shared" si="0"/>
        <v>6.3075437435045369</v>
      </c>
    </row>
    <row r="21" spans="1:4" x14ac:dyDescent="0.25">
      <c r="A21" t="s">
        <v>6</v>
      </c>
      <c r="B21">
        <v>1000000</v>
      </c>
      <c r="C21">
        <v>24138557</v>
      </c>
      <c r="D21">
        <f t="shared" si="0"/>
        <v>7.3827113044660262</v>
      </c>
    </row>
    <row r="22" spans="1:4" x14ac:dyDescent="0.25">
      <c r="A22" t="s">
        <v>7</v>
      </c>
      <c r="B22">
        <v>100</v>
      </c>
      <c r="C22">
        <v>2400</v>
      </c>
      <c r="D22">
        <f t="shared" si="0"/>
        <v>3.3802112417116059</v>
      </c>
    </row>
    <row r="23" spans="1:4" x14ac:dyDescent="0.25">
      <c r="A23" t="s">
        <v>7</v>
      </c>
      <c r="B23">
        <v>1000</v>
      </c>
      <c r="C23">
        <v>24000</v>
      </c>
      <c r="D23">
        <f t="shared" si="0"/>
        <v>4.3802112417116064</v>
      </c>
    </row>
    <row r="24" spans="1:4" x14ac:dyDescent="0.25">
      <c r="A24" t="s">
        <v>7</v>
      </c>
      <c r="B24">
        <v>10000</v>
      </c>
      <c r="C24">
        <v>240000</v>
      </c>
      <c r="D24">
        <f t="shared" si="0"/>
        <v>5.3802112417116064</v>
      </c>
    </row>
    <row r="25" spans="1:4" x14ac:dyDescent="0.25">
      <c r="A25" t="s">
        <v>7</v>
      </c>
      <c r="B25">
        <v>100000</v>
      </c>
      <c r="C25">
        <v>2400000</v>
      </c>
      <c r="D25">
        <f t="shared" si="0"/>
        <v>6.3802112417116064</v>
      </c>
    </row>
    <row r="26" spans="1:4" x14ac:dyDescent="0.25">
      <c r="A26" t="s">
        <v>7</v>
      </c>
      <c r="B26">
        <v>1000000</v>
      </c>
      <c r="C26">
        <v>24000000</v>
      </c>
      <c r="D26">
        <f t="shared" si="0"/>
        <v>7.3802112417116064</v>
      </c>
    </row>
    <row r="28" spans="1:4" x14ac:dyDescent="0.25">
      <c r="A28" t="s">
        <v>8</v>
      </c>
      <c r="B28" t="s">
        <v>14</v>
      </c>
      <c r="C28" t="s">
        <v>12</v>
      </c>
      <c r="D28" t="s">
        <v>13</v>
      </c>
    </row>
    <row r="29" spans="1:4" x14ac:dyDescent="0.25">
      <c r="A29" t="s">
        <v>3</v>
      </c>
      <c r="B29">
        <f>LOG(C29)</f>
        <v>5.0034346804780867</v>
      </c>
      <c r="C29">
        <f>100.794 * 1000</f>
        <v>100794</v>
      </c>
      <c r="D29">
        <v>100.794</v>
      </c>
    </row>
    <row r="30" spans="1:4" x14ac:dyDescent="0.25">
      <c r="A30" t="s">
        <v>4</v>
      </c>
      <c r="B30">
        <f>LOG(C30)</f>
        <v>4.0404836642062696</v>
      </c>
      <c r="C30">
        <f>10.977 * 1000</f>
        <v>10977</v>
      </c>
      <c r="D30">
        <v>10.977</v>
      </c>
    </row>
    <row r="31" spans="1:4" x14ac:dyDescent="0.25">
      <c r="A31" t="s">
        <v>5</v>
      </c>
      <c r="B31">
        <f>LOG(C31)</f>
        <v>2.8182258936139557</v>
      </c>
      <c r="C31">
        <f>0.658 * 1000</f>
        <v>658</v>
      </c>
      <c r="D31">
        <v>0.65800000000000003</v>
      </c>
    </row>
    <row r="32" spans="1:4" x14ac:dyDescent="0.25">
      <c r="A32" t="s">
        <v>6</v>
      </c>
      <c r="B32">
        <f>LOG(C32)</f>
        <v>2.6314437690131722</v>
      </c>
      <c r="C32">
        <f>0.428 * 1000</f>
        <v>428</v>
      </c>
      <c r="D32">
        <v>0.42799999999999999</v>
      </c>
    </row>
    <row r="33" spans="1:4" x14ac:dyDescent="0.25">
      <c r="A33" t="s">
        <v>7</v>
      </c>
      <c r="B33">
        <f>LOG(C33)</f>
        <v>2.7701152947871015</v>
      </c>
      <c r="C33">
        <f>0.589 * 1000</f>
        <v>589</v>
      </c>
      <c r="D33">
        <v>0.58899999999999997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1A95D-EF91-4A47-91EC-56DEA0D8405D}">
  <dimension ref="A1:D28"/>
  <sheetViews>
    <sheetView zoomScale="80" zoomScaleNormal="80" workbookViewId="0">
      <selection activeCell="U3" sqref="T3:U3"/>
    </sheetView>
  </sheetViews>
  <sheetFormatPr defaultRowHeight="15" x14ac:dyDescent="0.25"/>
  <cols>
    <col min="1" max="1" width="18.7109375" customWidth="1"/>
    <col min="2" max="2" width="40" customWidth="1"/>
    <col min="3" max="3" width="37.42578125" customWidth="1"/>
    <col min="4" max="4" width="36.5703125" customWidth="1"/>
    <col min="5" max="5" width="9.140625" customWidth="1"/>
  </cols>
  <sheetData>
    <row r="1" spans="1:3" x14ac:dyDescent="0.25">
      <c r="A1" t="s">
        <v>8</v>
      </c>
      <c r="B1" t="s">
        <v>11</v>
      </c>
      <c r="C1" t="s">
        <v>10</v>
      </c>
    </row>
    <row r="2" spans="1:3" x14ac:dyDescent="0.25">
      <c r="A2" t="s">
        <v>3</v>
      </c>
      <c r="B2">
        <v>100</v>
      </c>
      <c r="C2">
        <v>4944</v>
      </c>
    </row>
    <row r="3" spans="1:3" x14ac:dyDescent="0.25">
      <c r="A3" t="s">
        <v>3</v>
      </c>
      <c r="B3">
        <v>1000</v>
      </c>
      <c r="C3">
        <v>499065</v>
      </c>
    </row>
    <row r="4" spans="1:3" x14ac:dyDescent="0.25">
      <c r="A4" t="s">
        <v>3</v>
      </c>
      <c r="B4">
        <v>10000</v>
      </c>
      <c r="C4">
        <v>49976085</v>
      </c>
    </row>
    <row r="5" spans="1:3" x14ac:dyDescent="0.25">
      <c r="A5" t="s">
        <v>3</v>
      </c>
      <c r="B5">
        <v>100000</v>
      </c>
      <c r="C5">
        <v>4999883205</v>
      </c>
    </row>
    <row r="6" spans="1:3" x14ac:dyDescent="0.25">
      <c r="A6" t="s">
        <v>4</v>
      </c>
      <c r="B6">
        <v>100</v>
      </c>
      <c r="C6">
        <v>2584</v>
      </c>
    </row>
    <row r="7" spans="1:3" x14ac:dyDescent="0.25">
      <c r="A7" t="s">
        <v>4</v>
      </c>
      <c r="B7">
        <v>1000</v>
      </c>
      <c r="C7">
        <v>247582</v>
      </c>
    </row>
    <row r="8" spans="1:3" x14ac:dyDescent="0.25">
      <c r="A8" t="s">
        <v>4</v>
      </c>
      <c r="B8">
        <v>10000</v>
      </c>
      <c r="C8">
        <v>24920009</v>
      </c>
    </row>
    <row r="9" spans="1:3" x14ac:dyDescent="0.25">
      <c r="A9" t="s">
        <v>4</v>
      </c>
      <c r="B9">
        <v>100000</v>
      </c>
      <c r="C9">
        <v>2492730231</v>
      </c>
    </row>
    <row r="10" spans="1:3" x14ac:dyDescent="0.25">
      <c r="A10" t="s">
        <v>5</v>
      </c>
      <c r="B10">
        <v>100</v>
      </c>
      <c r="C10">
        <v>544</v>
      </c>
    </row>
    <row r="11" spans="1:3" x14ac:dyDescent="0.25">
      <c r="A11" t="s">
        <v>5</v>
      </c>
      <c r="B11">
        <v>1000</v>
      </c>
      <c r="C11">
        <v>8740</v>
      </c>
    </row>
    <row r="12" spans="1:3" x14ac:dyDescent="0.25">
      <c r="A12" t="s">
        <v>5</v>
      </c>
      <c r="B12">
        <v>10000</v>
      </c>
      <c r="C12">
        <v>120486</v>
      </c>
    </row>
    <row r="13" spans="1:3" x14ac:dyDescent="0.25">
      <c r="A13" t="s">
        <v>5</v>
      </c>
      <c r="B13">
        <v>100000</v>
      </c>
      <c r="C13">
        <v>1536415</v>
      </c>
    </row>
    <row r="14" spans="1:3" x14ac:dyDescent="0.25">
      <c r="A14" t="s">
        <v>6</v>
      </c>
      <c r="B14">
        <v>100</v>
      </c>
      <c r="C14">
        <v>660</v>
      </c>
    </row>
    <row r="15" spans="1:3" x14ac:dyDescent="0.25">
      <c r="A15" t="s">
        <v>6</v>
      </c>
      <c r="B15">
        <v>1000</v>
      </c>
      <c r="C15">
        <v>10954</v>
      </c>
    </row>
    <row r="16" spans="1:3" x14ac:dyDescent="0.25">
      <c r="A16" t="s">
        <v>6</v>
      </c>
      <c r="B16">
        <v>10000</v>
      </c>
      <c r="C16">
        <v>156289</v>
      </c>
    </row>
    <row r="17" spans="1:4" x14ac:dyDescent="0.25">
      <c r="A17" t="s">
        <v>6</v>
      </c>
      <c r="B17">
        <v>100000</v>
      </c>
      <c r="C17">
        <v>2030223</v>
      </c>
    </row>
    <row r="18" spans="1:4" x14ac:dyDescent="0.25">
      <c r="A18" t="s">
        <v>7</v>
      </c>
      <c r="B18">
        <v>100</v>
      </c>
      <c r="C18">
        <v>2400</v>
      </c>
    </row>
    <row r="19" spans="1:4" x14ac:dyDescent="0.25">
      <c r="A19" t="s">
        <v>7</v>
      </c>
      <c r="B19">
        <v>1000</v>
      </c>
      <c r="C19">
        <v>24000</v>
      </c>
    </row>
    <row r="20" spans="1:4" x14ac:dyDescent="0.25">
      <c r="A20" t="s">
        <v>7</v>
      </c>
      <c r="B20">
        <v>10000</v>
      </c>
      <c r="C20">
        <v>240000</v>
      </c>
    </row>
    <row r="21" spans="1:4" x14ac:dyDescent="0.25">
      <c r="A21" t="s">
        <v>7</v>
      </c>
      <c r="B21">
        <v>100000</v>
      </c>
      <c r="C21">
        <v>2400000</v>
      </c>
    </row>
    <row r="23" spans="1:4" x14ac:dyDescent="0.25">
      <c r="A23" t="s">
        <v>8</v>
      </c>
      <c r="B23" t="s">
        <v>14</v>
      </c>
      <c r="C23" t="s">
        <v>12</v>
      </c>
      <c r="D23" t="s">
        <v>13</v>
      </c>
    </row>
    <row r="24" spans="1:4" x14ac:dyDescent="0.25">
      <c r="A24" t="s">
        <v>3</v>
      </c>
      <c r="B24">
        <f>LOG(C24)</f>
        <v>5.0034346804780867</v>
      </c>
      <c r="C24">
        <f>100.794 * 1000</f>
        <v>100794</v>
      </c>
      <c r="D24">
        <v>100.794</v>
      </c>
    </row>
    <row r="25" spans="1:4" x14ac:dyDescent="0.25">
      <c r="A25" t="s">
        <v>4</v>
      </c>
      <c r="B25">
        <f>LOG(C25)</f>
        <v>4.0404836642062696</v>
      </c>
      <c r="C25">
        <f>10.977 * 1000</f>
        <v>10977</v>
      </c>
      <c r="D25">
        <v>10.977</v>
      </c>
    </row>
    <row r="26" spans="1:4" x14ac:dyDescent="0.25">
      <c r="A26" t="s">
        <v>5</v>
      </c>
      <c r="B26">
        <f>LOG(C26)</f>
        <v>2.8182258936139557</v>
      </c>
      <c r="C26">
        <f>0.658 * 1000</f>
        <v>658</v>
      </c>
      <c r="D26">
        <v>0.65800000000000003</v>
      </c>
    </row>
    <row r="27" spans="1:4" x14ac:dyDescent="0.25">
      <c r="A27" t="s">
        <v>6</v>
      </c>
      <c r="B27">
        <f>LOG(C27)</f>
        <v>2.6314437690131722</v>
      </c>
      <c r="C27">
        <f>0.428 * 1000</f>
        <v>428</v>
      </c>
      <c r="D27">
        <v>0.42799999999999999</v>
      </c>
    </row>
    <row r="28" spans="1:4" x14ac:dyDescent="0.25">
      <c r="A28" t="s">
        <v>7</v>
      </c>
      <c r="B28">
        <f>LOG(C28)</f>
        <v>2.7701152947871015</v>
      </c>
      <c r="C28">
        <f>0.589 * 1000</f>
        <v>589</v>
      </c>
      <c r="D28">
        <v>0.58899999999999997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32D00E-BE5C-4886-90E2-69ACABA3CBAC}">
  <dimension ref="A1:C16"/>
  <sheetViews>
    <sheetView workbookViewId="0">
      <selection activeCell="E10" sqref="E10"/>
    </sheetView>
  </sheetViews>
  <sheetFormatPr defaultRowHeight="15" x14ac:dyDescent="0.25"/>
  <cols>
    <col min="1" max="1" width="12.7109375" bestFit="1" customWidth="1"/>
    <col min="2" max="2" width="11.42578125" bestFit="1" customWidth="1"/>
    <col min="3" max="3" width="42.5703125" customWidth="1"/>
  </cols>
  <sheetData>
    <row r="1" spans="1:3" x14ac:dyDescent="0.25">
      <c r="A1" t="s">
        <v>8</v>
      </c>
      <c r="B1" t="s">
        <v>9</v>
      </c>
      <c r="C1" t="s">
        <v>10</v>
      </c>
    </row>
    <row r="2" spans="1:3" x14ac:dyDescent="0.25">
      <c r="A2" t="s">
        <v>3</v>
      </c>
      <c r="B2">
        <v>100</v>
      </c>
      <c r="C2">
        <v>4944</v>
      </c>
    </row>
    <row r="3" spans="1:3" x14ac:dyDescent="0.25">
      <c r="A3" t="s">
        <v>4</v>
      </c>
      <c r="B3">
        <v>100</v>
      </c>
      <c r="C3">
        <v>99</v>
      </c>
    </row>
    <row r="4" spans="1:3" x14ac:dyDescent="0.25">
      <c r="A4" t="s">
        <v>5</v>
      </c>
      <c r="B4">
        <v>100</v>
      </c>
      <c r="C4">
        <v>544</v>
      </c>
    </row>
    <row r="5" spans="1:3" x14ac:dyDescent="0.25">
      <c r="A5" t="s">
        <v>6</v>
      </c>
      <c r="B5">
        <v>100</v>
      </c>
      <c r="C5">
        <v>660</v>
      </c>
    </row>
    <row r="6" spans="1:3" x14ac:dyDescent="0.25">
      <c r="A6" t="s">
        <v>7</v>
      </c>
      <c r="B6">
        <v>100</v>
      </c>
      <c r="C6">
        <v>3708</v>
      </c>
    </row>
    <row r="7" spans="1:3" x14ac:dyDescent="0.25">
      <c r="A7" t="s">
        <v>3</v>
      </c>
      <c r="B7">
        <v>1000</v>
      </c>
      <c r="C7">
        <v>499065</v>
      </c>
    </row>
    <row r="8" spans="1:3" x14ac:dyDescent="0.25">
      <c r="A8" t="s">
        <v>4</v>
      </c>
      <c r="B8">
        <v>1000</v>
      </c>
      <c r="C8">
        <v>999</v>
      </c>
    </row>
    <row r="9" spans="1:3" x14ac:dyDescent="0.25">
      <c r="A9" t="s">
        <v>5</v>
      </c>
      <c r="B9">
        <v>1000</v>
      </c>
      <c r="C9">
        <v>8740</v>
      </c>
    </row>
    <row r="10" spans="1:3" x14ac:dyDescent="0.25">
      <c r="A10" t="s">
        <v>6</v>
      </c>
      <c r="B10">
        <v>1000</v>
      </c>
      <c r="C10">
        <v>10954</v>
      </c>
    </row>
    <row r="11" spans="1:3" x14ac:dyDescent="0.25">
      <c r="A11" t="s">
        <v>7</v>
      </c>
      <c r="B11">
        <v>1000</v>
      </c>
      <c r="C11">
        <v>36108</v>
      </c>
    </row>
    <row r="12" spans="1:3" x14ac:dyDescent="0.25">
      <c r="A12" t="s">
        <v>3</v>
      </c>
      <c r="B12">
        <v>10000</v>
      </c>
      <c r="C12">
        <v>49976085</v>
      </c>
    </row>
    <row r="13" spans="1:3" x14ac:dyDescent="0.25">
      <c r="A13" t="s">
        <v>4</v>
      </c>
      <c r="B13">
        <v>10000</v>
      </c>
      <c r="C13">
        <v>9999</v>
      </c>
    </row>
    <row r="14" spans="1:3" x14ac:dyDescent="0.25">
      <c r="A14" t="s">
        <v>5</v>
      </c>
      <c r="B14">
        <v>10000</v>
      </c>
      <c r="C14">
        <v>120486</v>
      </c>
    </row>
    <row r="15" spans="1:3" x14ac:dyDescent="0.25">
      <c r="A15" t="s">
        <v>6</v>
      </c>
      <c r="B15">
        <v>10000</v>
      </c>
      <c r="C15">
        <v>156289</v>
      </c>
    </row>
    <row r="16" spans="1:3" x14ac:dyDescent="0.25">
      <c r="A16" t="s">
        <v>7</v>
      </c>
      <c r="B16">
        <v>10000</v>
      </c>
      <c r="C16">
        <v>360108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FABD2-A6D1-4761-B1C2-3687316259E8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1D0FC8D4-4DC5-4D47-BE1A-6570B906FC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updates</vt:lpstr>
      <vt:lpstr>finals</vt:lpstr>
      <vt:lpstr>fixes</vt:lpstr>
      <vt:lpstr>results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Mustafa, Amaan</dc:creator>
  <cp:lastModifiedBy>Mustafa, Amaan</cp:lastModifiedBy>
  <dcterms:created xsi:type="dcterms:W3CDTF">2026-03-08T01:04:42Z</dcterms:created>
  <dcterms:modified xsi:type="dcterms:W3CDTF">2026-03-11T17:15:48Z</dcterms:modified>
</cp:coreProperties>
</file>